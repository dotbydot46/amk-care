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1c405cdcf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62f732c5e8e4900"/>
    <x:sheet xmlns:r="http://schemas.openxmlformats.org/officeDocument/2006/relationships" name="Client Enquiries" sheetId="2" r:id="R05f58bbd30c74d0a"/>
    <x:sheet xmlns:r="http://schemas.openxmlformats.org/officeDocument/2006/relationships" name="Carer Applications" sheetId="3" r:id="R5d37d2272b504113"/>
    <x:sheet xmlns:r="http://schemas.openxmlformats.org/officeDocument/2006/relationships" name="Lists" sheetId="4" r:id="R8c52264e3c994bbe"/>
    <x:sheet xmlns:r="http://schemas.openxmlformats.org/officeDocument/2006/relationships" name="Instructions" sheetId="5" r:id="R66d87962b18f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05254A"/>
      <x:name val="Carlito"/>
    </x:font>
    <x:font>
      <x:sz val="11"/>
      <x:name val="Carlito"/>
    </x:font>
    <x:font>
      <x:sz val="11"/>
      <x:color rgb="FF05254A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5254A"/>
      </x:patternFill>
    </x:fill>
    <x:fill>
      <x:patternFill patternType="solid">
        <x:fgColor rgb="FFE7B85B"/>
      </x:patternFill>
    </x:fill>
    <x:fill>
      <x:patternFill patternType="solid">
        <x:fgColor rgb="FFF7F1E8"/>
      </x:patternFill>
    </x:fill>
  </x:fills>
  <x:borders count="4">
    <x:border/>
    <x:border/>
    <x:border>
      <x:bottom style="thin">
        <x:color rgb="FFD6DEE8"/>
      </x:bottom>
    </x:border>
    <x:border>
      <x:bottom style="thin">
        <x:color rgb="FFD6DEE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1" xfId="0" applyNumberFormat="1" applyFont="1" applyFill="1" applyBorder="1"/>
    <x:xf numFmtId="0" fontId="3" fillId="0" borderId="3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3873a8f094af6" /><Relationship Type="http://schemas.openxmlformats.org/officeDocument/2006/relationships/theme" Target="/xl/theme/theme1.xml" Id="Rf486e8c9fe0a46e9" /><Relationship Type="http://schemas.openxmlformats.org/officeDocument/2006/relationships/sharedStrings" Target="/xl/sharedStrings.xml" Id="R59fb9ca1f69c4168" /><Relationship Type="http://schemas.openxmlformats.org/officeDocument/2006/relationships/worksheet" Target="/xl/worksheets/sheet1.xml" Id="R962f732c5e8e4900" /><Relationship Type="http://schemas.openxmlformats.org/officeDocument/2006/relationships/worksheet" Target="/xl/worksheets/sheet2.xml" Id="R05f58bbd30c74d0a" /><Relationship Type="http://schemas.openxmlformats.org/officeDocument/2006/relationships/worksheet" Target="/xl/worksheets/sheet3.xml" Id="R5d37d2272b504113" /><Relationship Type="http://schemas.openxmlformats.org/officeDocument/2006/relationships/worksheet" Target="/xl/worksheets/sheet4.xml" Id="R8c52264e3c994bbe" /><Relationship Type="http://schemas.openxmlformats.org/officeDocument/2006/relationships/worksheet" Target="/xl/worksheets/sheet5.xml" Id="R66d87962b18f427e" /></Relationships>
</file>

<file path=xl/tables/table1.xml><?xml version="1.0" encoding="utf-8"?>
<x:table xmlns:x="http://schemas.openxmlformats.org/spreadsheetml/2006/main" id="1" name="ClientEnquiriesTable" displayName="ClientEnquiriesTable" ref="A1:P200" headerRowCount="1">
  <x:tableColumns count="16">
    <x:tableColumn id="1" name="Date Received"/>
    <x:tableColumn id="2" name="Status"/>
    <x:tableColumn id="3" name="Full Name"/>
    <x:tableColumn id="4" name="Phone"/>
    <x:tableColumn id="5" name="Email"/>
    <x:tableColumn id="6" name="Care Location"/>
    <x:tableColumn id="7" name="Preferred Contact"/>
    <x:tableColumn id="8" name="Care Type"/>
    <x:tableColumn id="9" name="When Needed"/>
    <x:tableColumn id="10" name="Message"/>
    <x:tableColumn id="11" name="Source"/>
    <x:tableColumn id="12" name="Page URL"/>
    <x:tableColumn id="13" name="UTM Source"/>
    <x:tableColumn id="14" name="UTM Campaign"/>
    <x:tableColumn id="15" name="Follow-up Date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arerApplicationsTable" displayName="CarerApplicationsTable" ref="A1:R200" headerRowCount="1">
  <x:tableColumns count="18">
    <x:tableColumn id="1" name="Date Received"/>
    <x:tableColumn id="2" name="Status"/>
    <x:tableColumn id="3" name="Full Name"/>
    <x:tableColumn id="4" name="Phone"/>
    <x:tableColumn id="5" name="Email"/>
    <x:tableColumn id="6" name="Location"/>
    <x:tableColumn id="7" name="Experience"/>
    <x:tableColumn id="8" name="Role Interest"/>
    <x:tableColumn id="9" name="Availability"/>
    <x:tableColumn id="10" name="Right to Work"/>
    <x:tableColumn id="11" name="DBS"/>
    <x:tableColumn id="12" name="References"/>
    <x:tableColumn id="13" name="Drives"/>
    <x:tableColumn id="14" name="Message"/>
    <x:tableColumn id="15" name="Source"/>
    <x:tableColumn id="16" name="Page URL"/>
    <x:tableColumn id="17" name="Follow-up Date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74e4c59fc74c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b7e07fbb2b4e06" /></Relationships>
</file>

<file path=xl/worksheets/sheet1.xml><?xml version="1.0" encoding="utf-8"?>
<x:worksheet xmlns:x="http://schemas.openxmlformats.org/spreadsheetml/2006/main">
  <x:sheetFormatPr defaultRowHeight="15"/>
  <x:cols>
    <x:col min="1" max="1" width="62.630001068115234" hidden="0" customWidth="1"/>
    <x:col min="2" max="2" width="1.5" hidden="0" customWidth="1"/>
    <x:col min="4" max="4" width="14.5" hidden="0" customWidth="1"/>
    <x:col min="5" max="5" width="1.5" hidden="0" customWidth="1"/>
  </x:cols>
  <x:sheetData>
    <x:row r="1">
      <x:c r="A1" s="19" t="str">
        <x:v>AMK Care Website CRM Dashboard</x:v>
      </x:c>
      <x:c r="B1" t="str"/>
      <x:c r="C1" t="str"/>
      <x:c r="D1" t="str"/>
      <x:c r="E1" t="str"/>
    </x:row>
    <x:row r="2">
      <x:c r="A2" t="str">
        <x:v>Use this workbook to track client enquiries and carer applications from the website.</x:v>
      </x:c>
      <x:c r="B2" t="str"/>
      <x:c r="C2" t="str"/>
      <x:c r="D2" t="str"/>
      <x:c r="E2" t="str"/>
    </x:row>
    <x:row r="3">
      <x:c r="A3" t="str"/>
      <x:c r="B3" t="str"/>
      <x:c r="C3" t="str"/>
      <x:c r="D3" t="str"/>
      <x:c r="E3" t="str"/>
    </x:row>
    <x:row r="4">
      <x:c r="A4" s="23" t="str">
        <x:v>Client Enquiries</x:v>
      </x:c>
      <x:c r="B4" s="23" t="str"/>
      <x:c r="C4" t="str"/>
      <x:c r="D4" s="23" t="str">
        <x:v>Carer Applications</x:v>
      </x:c>
      <x:c r="E4" s="23" t="str"/>
    </x:row>
    <x:row r="5">
      <x:c r="A5" s="26" t="str">
        <x:v>New</x:v>
      </x:c>
      <x:c r="B5" s="30" t="n">
        <x:f>COUNTIF('Client Enquiries'!B:B,"New")</x:f>
        <x:v>1</x:v>
      </x:c>
      <x:c r="C5" s="26" t="str"/>
      <x:c r="D5" s="26" t="str">
        <x:v>New</x:v>
      </x:c>
      <x:c r="E5" s="30" t="n">
        <x:f>COUNTIF('Carer Applications'!B:B,"New")</x:f>
        <x:v>1</x:v>
      </x:c>
    </x:row>
    <x:row r="6">
      <x:c r="A6" s="26" t="str">
        <x:v>Contacted</x:v>
      </x:c>
      <x:c r="B6" s="30" t="n">
        <x:f>COUNTIF('Client Enquiries'!B:B,"Contacted")</x:f>
        <x:v>0</x:v>
      </x:c>
      <x:c r="C6" s="26" t="str"/>
      <x:c r="D6" s="26" t="str">
        <x:v>Contacted</x:v>
      </x:c>
      <x:c r="E6" s="30" t="n">
        <x:f>COUNTIF('Carer Applications'!B:B,"Contacted")</x:f>
        <x:v>0</x:v>
      </x:c>
    </x:row>
    <x:row r="7">
      <x:c r="A7" s="26" t="str">
        <x:v>Consultation Booked</x:v>
      </x:c>
      <x:c r="B7" s="30" t="n">
        <x:f>COUNTIF('Client Enquiries'!B:B,"Consultation Booked")</x:f>
        <x:v>0</x:v>
      </x:c>
      <x:c r="C7" s="26" t="str"/>
      <x:c r="D7" s="26" t="str">
        <x:v>Interview</x:v>
      </x:c>
      <x:c r="E7" s="30" t="n">
        <x:f>COUNTIF('Carer Applications'!B:B,"Interview")</x:f>
        <x:v>0</x:v>
      </x:c>
    </x:row>
    <x:row r="8">
      <x:c r="A8" s="26" t="str">
        <x:v>Care Started</x:v>
      </x:c>
      <x:c r="B8" s="30" t="n">
        <x:f>COUNTIF('Client Enquiries'!B:B,"Care Started")</x:f>
        <x:v>0</x:v>
      </x:c>
      <x:c r="C8" s="26" t="str"/>
      <x:c r="D8" s="26" t="str">
        <x:v>Accepted</x:v>
      </x:c>
      <x:c r="E8" s="30" t="n">
        <x:f>COUNTIF('Carer Applications'!B:B,"Accepted")</x:f>
        <x:v>0</x:v>
      </x:c>
    </x:row>
    <x:row r="9">
      <x:c r="A9" s="27" t="str">
        <x:v>Total</x:v>
      </x:c>
      <x:c r="B9" s="31" t="n">
        <x:f>COUNTA('Client Enquiries'!C:C)-1</x:f>
        <x:v>1</x:v>
      </x:c>
      <x:c r="C9" s="27" t="str"/>
      <x:c r="D9" s="27" t="str">
        <x:v>Total</x:v>
      </x:c>
      <x:c r="E9" s="31" t="n">
        <x:f>COUNTA('Carer Applications'!C:C)-1</x:f>
        <x:v>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6" hidden="0" customWidth="1"/>
    <x:col min="5" max="5" width="28" hidden="0" customWidth="1"/>
    <x:col min="6" max="6" width="22" hidden="0" customWidth="1"/>
    <x:col min="7" max="7" width="20" hidden="0" customWidth="1"/>
    <x:col min="8" max="8" width="22" hidden="0" customWidth="1"/>
    <x:col min="9" max="9" width="20" hidden="0" customWidth="1"/>
    <x:col min="10" max="10" width="42" hidden="0" customWidth="1"/>
    <x:col min="11" max="11" width="18" hidden="0" customWidth="1"/>
    <x:col min="12" max="12" width="34" hidden="0" customWidth="1"/>
    <x:col min="13" max="13" width="16" hidden="0" customWidth="1"/>
    <x:col min="14" max="14" width="18" hidden="0" customWidth="1"/>
    <x:col min="15" max="15" width="18" hidden="0" customWidth="1"/>
    <x:col min="16" max="16" width="34" hidden="0" customWidth="1"/>
  </x:cols>
  <x:sheetData>
    <x:row r="1">
      <x:c r="A1" s="10" t="str">
        <x:v>Date Received</x:v>
      </x:c>
      <x:c r="B1" s="10" t="str">
        <x:v>Status</x:v>
      </x:c>
      <x:c r="C1" s="10" t="str">
        <x:v>Full Name</x:v>
      </x:c>
      <x:c r="D1" s="10" t="str">
        <x:v>Phone</x:v>
      </x:c>
      <x:c r="E1" s="10" t="str">
        <x:v>Email</x:v>
      </x:c>
      <x:c r="F1" s="10" t="str">
        <x:v>Care Location</x:v>
      </x:c>
      <x:c r="G1" s="10" t="str">
        <x:v>Preferred Contact</x:v>
      </x:c>
      <x:c r="H1" s="10" t="str">
        <x:v>Care Type</x:v>
      </x:c>
      <x:c r="I1" s="10" t="str">
        <x:v>When Needed</x:v>
      </x:c>
      <x:c r="J1" s="10" t="str">
        <x:v>Message</x:v>
      </x:c>
      <x:c r="K1" s="10" t="str">
        <x:v>Source</x:v>
      </x:c>
      <x:c r="L1" s="10" t="str">
        <x:v>Page URL</x:v>
      </x:c>
      <x:c r="M1" s="10" t="str">
        <x:v>UTM Source</x:v>
      </x:c>
      <x:c r="N1" s="10" t="str">
        <x:v>UTM Campaign</x:v>
      </x:c>
      <x:c r="O1" s="10" t="str">
        <x:v>Follow-up Date</x:v>
      </x:c>
      <x:c r="P1" s="10" t="str">
        <x:v>Notes</x:v>
      </x:c>
    </x:row>
    <x:row r="2">
      <x:c r="A2" s="14" t="n">
        <x:v>46195.99387295139</x:v>
      </x:c>
      <x:c r="B2" s="11" t="str">
        <x:v>New</x:v>
      </x:c>
      <x:c r="C2" s="11" t="str">
        <x:v>Example Client</x:v>
      </x:c>
      <x:c r="D2" s="11" t="str">
        <x:v>07852 888 932</x:v>
      </x:c>
      <x:c r="E2" s="11" t="str">
        <x:v>example@email.com</x:v>
      </x:c>
      <x:c r="F2" s="11" t="str">
        <x:v>London</x:v>
      </x:c>
      <x:c r="G2" s="11" t="str">
        <x:v>Phone call</x:v>
      </x:c>
      <x:c r="H2" s="11" t="str">
        <x:v>Live-in care</x:v>
      </x:c>
      <x:c r="I2" s="11" t="str">
        <x:v>As soon as possible</x:v>
      </x:c>
      <x:c r="J2" s="11" t="str">
        <x:v>Example enquiry message.</x:v>
      </x:c>
      <x:c r="K2" s="11" t="str">
        <x:v>Website form</x:v>
      </x:c>
      <x:c r="L2" s="11" t="str">
        <x:v>https://amkcare.co.uk/contact.html</x:v>
      </x:c>
      <x:c r="M2" s="11" t="str"/>
      <x:c r="N2" s="11" t="str"/>
      <x:c r="O2" s="16" t="str"/>
      <x:c r="P2" s="11" t="str"/>
    </x:row>
    <x:row r="3">
      <x:c r="A3" s="14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6"/>
      <x:c r="P3" s="11"/>
    </x:row>
    <x:row r="4">
      <x:c r="A4" s="14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6"/>
      <x:c r="P4" s="11"/>
    </x:row>
    <x:row r="5">
      <x:c r="A5" s="14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6"/>
      <x:c r="P5" s="11"/>
    </x:row>
    <x:row r="6">
      <x:c r="A6" s="14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6"/>
      <x:c r="P6" s="11"/>
    </x:row>
    <x:row r="7">
      <x:c r="A7" s="14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6"/>
      <x:c r="P7" s="11"/>
    </x:row>
    <x:row r="8">
      <x:c r="A8" s="14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6"/>
      <x:c r="P8" s="11"/>
    </x:row>
    <x:row r="9">
      <x:c r="A9" s="14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6"/>
      <x:c r="P9" s="11"/>
    </x:row>
    <x:row r="10">
      <x:c r="A10" s="14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6"/>
      <x:c r="P10" s="11"/>
    </x:row>
    <x:row r="11">
      <x:c r="A11" s="14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6"/>
      <x:c r="P11" s="11"/>
    </x:row>
    <x:row r="12">
      <x:c r="A12" s="14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6"/>
      <x:c r="P12" s="11"/>
    </x:row>
    <x:row r="13">
      <x:c r="A13" s="14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6"/>
      <x:c r="P13" s="11"/>
    </x:row>
    <x:row r="14">
      <x:c r="A14" s="14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6"/>
      <x:c r="P14" s="11"/>
    </x:row>
    <x:row r="15">
      <x:c r="A15" s="14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6"/>
      <x:c r="P15" s="11"/>
    </x:row>
    <x:row r="16">
      <x:c r="A16" s="14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6"/>
      <x:c r="P16" s="11"/>
    </x:row>
    <x:row r="17">
      <x:c r="A17" s="14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6"/>
      <x:c r="P17" s="11"/>
    </x:row>
    <x:row r="18">
      <x:c r="A18" s="14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6"/>
      <x:c r="P18" s="11"/>
    </x:row>
    <x:row r="19">
      <x:c r="A19" s="14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6"/>
      <x:c r="P19" s="11"/>
    </x:row>
    <x:row r="20">
      <x:c r="A20" s="14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6"/>
      <x:c r="P20" s="11"/>
    </x:row>
    <x:row r="21">
      <x:c r="A21" s="14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6"/>
      <x:c r="P21" s="11"/>
    </x:row>
    <x:row r="22">
      <x:c r="A22" s="14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6"/>
      <x:c r="P22" s="11"/>
    </x:row>
    <x:row r="23">
      <x:c r="A23" s="14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6"/>
      <x:c r="P23" s="11"/>
    </x:row>
    <x:row r="24">
      <x:c r="A24" s="14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6"/>
      <x:c r="P24" s="11"/>
    </x:row>
    <x:row r="25">
      <x:c r="A25" s="14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6"/>
      <x:c r="P25" s="11"/>
    </x:row>
    <x:row r="26">
      <x:c r="A26" s="14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6"/>
      <x:c r="P26" s="11"/>
    </x:row>
    <x:row r="27">
      <x:c r="A27" s="14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6"/>
      <x:c r="P27" s="11"/>
    </x:row>
    <x:row r="28">
      <x:c r="A28" s="14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6"/>
      <x:c r="P28" s="11"/>
    </x:row>
    <x:row r="29">
      <x:c r="A29" s="14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6"/>
      <x:c r="P29" s="11"/>
    </x:row>
    <x:row r="30">
      <x:c r="A30" s="14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6"/>
      <x:c r="P30" s="11"/>
    </x:row>
    <x:row r="31">
      <x:c r="A31" s="14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6"/>
      <x:c r="P31" s="11"/>
    </x:row>
    <x:row r="32">
      <x:c r="A32" s="14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6"/>
      <x:c r="P32" s="11"/>
    </x:row>
    <x:row r="33">
      <x:c r="A33" s="14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6"/>
      <x:c r="P33" s="11"/>
    </x:row>
    <x:row r="34">
      <x:c r="A34" s="14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6"/>
      <x:c r="P34" s="11"/>
    </x:row>
    <x:row r="35">
      <x:c r="A35" s="14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6"/>
      <x:c r="P35" s="11"/>
    </x:row>
    <x:row r="36">
      <x:c r="A36" s="14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6"/>
      <x:c r="P36" s="11"/>
    </x:row>
    <x:row r="37">
      <x:c r="A37" s="14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6"/>
      <x:c r="P37" s="11"/>
    </x:row>
    <x:row r="38">
      <x:c r="A38" s="14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6"/>
      <x:c r="P38" s="11"/>
    </x:row>
    <x:row r="39">
      <x:c r="A39" s="14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6"/>
      <x:c r="P39" s="11"/>
    </x:row>
    <x:row r="40">
      <x:c r="A40" s="14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6"/>
      <x:c r="P40" s="11"/>
    </x:row>
    <x:row r="41">
      <x:c r="A41" s="14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6"/>
      <x:c r="P41" s="11"/>
    </x:row>
    <x:row r="42">
      <x:c r="A42" s="14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6"/>
      <x:c r="P42" s="11"/>
    </x:row>
    <x:row r="43">
      <x:c r="A43" s="14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6"/>
      <x:c r="P43" s="11"/>
    </x:row>
    <x:row r="44">
      <x:c r="A44" s="14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6"/>
      <x:c r="P44" s="11"/>
    </x:row>
    <x:row r="45">
      <x:c r="A45" s="14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6"/>
      <x:c r="P45" s="11"/>
    </x:row>
    <x:row r="46">
      <x:c r="A46" s="14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6"/>
      <x:c r="P46" s="11"/>
    </x:row>
    <x:row r="47">
      <x:c r="A47" s="14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6"/>
      <x:c r="P47" s="11"/>
    </x:row>
    <x:row r="48">
      <x:c r="A48" s="14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6"/>
      <x:c r="P48" s="11"/>
    </x:row>
    <x:row r="49">
      <x:c r="A49" s="14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6"/>
      <x:c r="P49" s="11"/>
    </x:row>
    <x:row r="50">
      <x:c r="A50" s="14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6"/>
      <x:c r="P50" s="11"/>
    </x:row>
    <x:row r="51">
      <x:c r="A51" s="14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6"/>
      <x:c r="P51" s="11"/>
    </x:row>
    <x:row r="52">
      <x:c r="A52" s="14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6"/>
      <x:c r="P52" s="11"/>
    </x:row>
    <x:row r="53">
      <x:c r="A53" s="14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6"/>
      <x:c r="P53" s="11"/>
    </x:row>
    <x:row r="54">
      <x:c r="A54" s="14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6"/>
      <x:c r="P54" s="11"/>
    </x:row>
    <x:row r="55">
      <x:c r="A55" s="14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6"/>
      <x:c r="P55" s="11"/>
    </x:row>
    <x:row r="56">
      <x:c r="A56" s="14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6"/>
      <x:c r="P56" s="11"/>
    </x:row>
    <x:row r="57">
      <x:c r="A57" s="14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6"/>
      <x:c r="P57" s="11"/>
    </x:row>
    <x:row r="58">
      <x:c r="A58" s="14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6"/>
      <x:c r="P58" s="11"/>
    </x:row>
    <x:row r="59">
      <x:c r="A59" s="14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6"/>
      <x:c r="P59" s="11"/>
    </x:row>
    <x:row r="60">
      <x:c r="A60" s="14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6"/>
      <x:c r="P60" s="11"/>
    </x:row>
    <x:row r="61">
      <x:c r="A61" s="14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6"/>
      <x:c r="P61" s="11"/>
    </x:row>
    <x:row r="62">
      <x:c r="A62" s="14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6"/>
      <x:c r="P62" s="11"/>
    </x:row>
    <x:row r="63">
      <x:c r="A63" s="14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6"/>
      <x:c r="P63" s="11"/>
    </x:row>
    <x:row r="64">
      <x:c r="A64" s="14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6"/>
      <x:c r="P64" s="11"/>
    </x:row>
    <x:row r="65">
      <x:c r="A65" s="14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6"/>
      <x:c r="P65" s="11"/>
    </x:row>
    <x:row r="66">
      <x:c r="A66" s="14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6"/>
      <x:c r="P66" s="11"/>
    </x:row>
    <x:row r="67">
      <x:c r="A67" s="14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6"/>
      <x:c r="P67" s="11"/>
    </x:row>
    <x:row r="68">
      <x:c r="A68" s="14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6"/>
      <x:c r="P68" s="11"/>
    </x:row>
    <x:row r="69">
      <x:c r="A69" s="14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6"/>
      <x:c r="P69" s="11"/>
    </x:row>
    <x:row r="70">
      <x:c r="A70" s="14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6"/>
      <x:c r="P70" s="11"/>
    </x:row>
    <x:row r="71">
      <x:c r="A71" s="14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6"/>
      <x:c r="P71" s="11"/>
    </x:row>
    <x:row r="72">
      <x:c r="A72" s="14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6"/>
      <x:c r="P72" s="11"/>
    </x:row>
    <x:row r="73">
      <x:c r="A73" s="14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6"/>
      <x:c r="P73" s="11"/>
    </x:row>
    <x:row r="74">
      <x:c r="A74" s="14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6"/>
      <x:c r="P74" s="11"/>
    </x:row>
    <x:row r="75">
      <x:c r="A75" s="14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6"/>
      <x:c r="P75" s="11"/>
    </x:row>
    <x:row r="76">
      <x:c r="A76" s="14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6"/>
      <x:c r="P76" s="11"/>
    </x:row>
    <x:row r="77">
      <x:c r="A77" s="14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6"/>
      <x:c r="P77" s="11"/>
    </x:row>
    <x:row r="78">
      <x:c r="A78" s="14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6"/>
      <x:c r="P78" s="11"/>
    </x:row>
    <x:row r="79">
      <x:c r="A79" s="14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6"/>
      <x:c r="P79" s="11"/>
    </x:row>
    <x:row r="80">
      <x:c r="A80" s="14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6"/>
      <x:c r="P80" s="11"/>
    </x:row>
    <x:row r="81">
      <x:c r="A81" s="14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6"/>
      <x:c r="P81" s="11"/>
    </x:row>
    <x:row r="82">
      <x:c r="A82" s="14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6"/>
      <x:c r="P82" s="11"/>
    </x:row>
    <x:row r="83">
      <x:c r="A83" s="14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6"/>
      <x:c r="P83" s="11"/>
    </x:row>
    <x:row r="84">
      <x:c r="A84" s="14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6"/>
      <x:c r="P84" s="11"/>
    </x:row>
    <x:row r="85">
      <x:c r="A85" s="14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6"/>
      <x:c r="P85" s="11"/>
    </x:row>
    <x:row r="86">
      <x:c r="A86" s="14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6"/>
      <x:c r="P86" s="11"/>
    </x:row>
    <x:row r="87">
      <x:c r="A87" s="14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6"/>
      <x:c r="P87" s="11"/>
    </x:row>
    <x:row r="88">
      <x:c r="A88" s="14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6"/>
      <x:c r="P88" s="11"/>
    </x:row>
    <x:row r="89">
      <x:c r="A89" s="14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6"/>
      <x:c r="P89" s="11"/>
    </x:row>
    <x:row r="90">
      <x:c r="A90" s="14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6"/>
      <x:c r="P90" s="11"/>
    </x:row>
    <x:row r="91">
      <x:c r="A91" s="14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6"/>
      <x:c r="P91" s="11"/>
    </x:row>
    <x:row r="92">
      <x:c r="A92" s="14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6"/>
      <x:c r="P92" s="11"/>
    </x:row>
    <x:row r="93">
      <x:c r="A93" s="14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6"/>
      <x:c r="P93" s="11"/>
    </x:row>
    <x:row r="94">
      <x:c r="A94" s="14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6"/>
      <x:c r="P94" s="11"/>
    </x:row>
    <x:row r="95">
      <x:c r="A95" s="14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6"/>
      <x:c r="P95" s="11"/>
    </x:row>
    <x:row r="96">
      <x:c r="A96" s="14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6"/>
      <x:c r="P96" s="11"/>
    </x:row>
    <x:row r="97">
      <x:c r="A97" s="14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6"/>
      <x:c r="P97" s="11"/>
    </x:row>
    <x:row r="98">
      <x:c r="A98" s="14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6"/>
      <x:c r="P98" s="11"/>
    </x:row>
    <x:row r="99">
      <x:c r="A99" s="14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6"/>
      <x:c r="P99" s="11"/>
    </x:row>
    <x:row r="100">
      <x:c r="A100" s="14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6"/>
      <x:c r="P100" s="11"/>
    </x:row>
    <x:row r="101">
      <x:c r="A101" s="14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6"/>
      <x:c r="P101" s="11"/>
    </x:row>
    <x:row r="102">
      <x:c r="A102" s="14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6"/>
      <x:c r="P102" s="11"/>
    </x:row>
    <x:row r="103">
      <x:c r="A103" s="14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6"/>
      <x:c r="P103" s="11"/>
    </x:row>
    <x:row r="104">
      <x:c r="A104" s="14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6"/>
      <x:c r="P104" s="11"/>
    </x:row>
    <x:row r="105">
      <x:c r="A105" s="14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6"/>
      <x:c r="P105" s="11"/>
    </x:row>
    <x:row r="106">
      <x:c r="A106" s="14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6"/>
      <x:c r="P106" s="11"/>
    </x:row>
    <x:row r="107">
      <x:c r="A107" s="14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6"/>
      <x:c r="P107" s="11"/>
    </x:row>
    <x:row r="108">
      <x:c r="A108" s="14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6"/>
      <x:c r="P108" s="11"/>
    </x:row>
    <x:row r="109">
      <x:c r="A109" s="14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6"/>
      <x:c r="P109" s="11"/>
    </x:row>
    <x:row r="110">
      <x:c r="A110" s="14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6"/>
      <x:c r="P110" s="11"/>
    </x:row>
    <x:row r="111">
      <x:c r="A111" s="14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6"/>
      <x:c r="P111" s="11"/>
    </x:row>
    <x:row r="112">
      <x:c r="A112" s="14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6"/>
      <x:c r="P112" s="11"/>
    </x:row>
    <x:row r="113">
      <x:c r="A113" s="14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6"/>
      <x:c r="P113" s="11"/>
    </x:row>
    <x:row r="114">
      <x:c r="A114" s="14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6"/>
      <x:c r="P114" s="11"/>
    </x:row>
    <x:row r="115">
      <x:c r="A115" s="14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6"/>
      <x:c r="P115" s="11"/>
    </x:row>
    <x:row r="116">
      <x:c r="A116" s="14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6"/>
      <x:c r="P116" s="11"/>
    </x:row>
    <x:row r="117">
      <x:c r="A117" s="14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6"/>
      <x:c r="P117" s="11"/>
    </x:row>
    <x:row r="118">
      <x:c r="A118" s="14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6"/>
      <x:c r="P118" s="11"/>
    </x:row>
    <x:row r="119">
      <x:c r="A119" s="14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6"/>
      <x:c r="P119" s="11"/>
    </x:row>
    <x:row r="120">
      <x:c r="A120" s="14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6"/>
      <x:c r="P120" s="11"/>
    </x:row>
    <x:row r="121">
      <x:c r="A121" s="14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6"/>
      <x:c r="P121" s="11"/>
    </x:row>
    <x:row r="122">
      <x:c r="A122" s="14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6"/>
      <x:c r="P122" s="11"/>
    </x:row>
    <x:row r="123">
      <x:c r="A123" s="14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6"/>
      <x:c r="P123" s="11"/>
    </x:row>
    <x:row r="124">
      <x:c r="A124" s="14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6"/>
      <x:c r="P124" s="11"/>
    </x:row>
    <x:row r="125">
      <x:c r="A125" s="14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6"/>
      <x:c r="P125" s="11"/>
    </x:row>
    <x:row r="126">
      <x:c r="A126" s="14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6"/>
      <x:c r="P126" s="11"/>
    </x:row>
    <x:row r="127">
      <x:c r="A127" s="14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6"/>
      <x:c r="P127" s="11"/>
    </x:row>
    <x:row r="128">
      <x:c r="A128" s="14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6"/>
      <x:c r="P128" s="11"/>
    </x:row>
    <x:row r="129">
      <x:c r="A129" s="14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6"/>
      <x:c r="P129" s="11"/>
    </x:row>
    <x:row r="130">
      <x:c r="A130" s="14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6"/>
      <x:c r="P130" s="11"/>
    </x:row>
    <x:row r="131">
      <x:c r="A131" s="14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6"/>
      <x:c r="P131" s="11"/>
    </x:row>
    <x:row r="132">
      <x:c r="A132" s="14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6"/>
      <x:c r="P132" s="11"/>
    </x:row>
    <x:row r="133">
      <x:c r="A133" s="14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6"/>
      <x:c r="P133" s="11"/>
    </x:row>
    <x:row r="134">
      <x:c r="A134" s="14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6"/>
      <x:c r="P134" s="11"/>
    </x:row>
    <x:row r="135">
      <x:c r="A135" s="14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6"/>
      <x:c r="P135" s="11"/>
    </x:row>
    <x:row r="136">
      <x:c r="A136" s="14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6"/>
      <x:c r="P136" s="11"/>
    </x:row>
    <x:row r="137">
      <x:c r="A137" s="14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6"/>
      <x:c r="P137" s="11"/>
    </x:row>
    <x:row r="138">
      <x:c r="A138" s="14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6"/>
      <x:c r="P138" s="11"/>
    </x:row>
    <x:row r="139">
      <x:c r="A139" s="14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6"/>
      <x:c r="P139" s="11"/>
    </x:row>
    <x:row r="140">
      <x:c r="A140" s="14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6"/>
      <x:c r="P140" s="11"/>
    </x:row>
    <x:row r="141">
      <x:c r="A141" s="14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6"/>
      <x:c r="P141" s="11"/>
    </x:row>
    <x:row r="142">
      <x:c r="A142" s="14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6"/>
      <x:c r="P142" s="11"/>
    </x:row>
    <x:row r="143">
      <x:c r="A143" s="14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6"/>
      <x:c r="P143" s="11"/>
    </x:row>
    <x:row r="144">
      <x:c r="A144" s="14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6"/>
      <x:c r="P144" s="11"/>
    </x:row>
    <x:row r="145">
      <x:c r="A145" s="14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6"/>
      <x:c r="P145" s="11"/>
    </x:row>
    <x:row r="146">
      <x:c r="A146" s="14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6"/>
      <x:c r="P146" s="11"/>
    </x:row>
    <x:row r="147">
      <x:c r="A147" s="14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6"/>
      <x:c r="P147" s="11"/>
    </x:row>
    <x:row r="148">
      <x:c r="A148" s="14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6"/>
      <x:c r="P148" s="11"/>
    </x:row>
    <x:row r="149">
      <x:c r="A149" s="14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6"/>
      <x:c r="P149" s="11"/>
    </x:row>
    <x:row r="150">
      <x:c r="A150" s="14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6"/>
      <x:c r="P150" s="11"/>
    </x:row>
    <x:row r="151">
      <x:c r="A151" s="14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6"/>
      <x:c r="P151" s="11"/>
    </x:row>
    <x:row r="152">
      <x:c r="A152" s="14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6"/>
      <x:c r="P152" s="11"/>
    </x:row>
    <x:row r="153">
      <x:c r="A153" s="14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6"/>
      <x:c r="P153" s="11"/>
    </x:row>
    <x:row r="154">
      <x:c r="A154" s="14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6"/>
      <x:c r="P154" s="11"/>
    </x:row>
    <x:row r="155">
      <x:c r="A155" s="14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6"/>
      <x:c r="P155" s="11"/>
    </x:row>
    <x:row r="156">
      <x:c r="A156" s="14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6"/>
      <x:c r="P156" s="11"/>
    </x:row>
    <x:row r="157">
      <x:c r="A157" s="14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6"/>
      <x:c r="P157" s="11"/>
    </x:row>
    <x:row r="158">
      <x:c r="A158" s="14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6"/>
      <x:c r="P158" s="11"/>
    </x:row>
    <x:row r="159">
      <x:c r="A159" s="14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6"/>
      <x:c r="P159" s="11"/>
    </x:row>
    <x:row r="160">
      <x:c r="A160" s="14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6"/>
      <x:c r="P160" s="11"/>
    </x:row>
    <x:row r="161">
      <x:c r="A161" s="14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6"/>
      <x:c r="P161" s="11"/>
    </x:row>
    <x:row r="162">
      <x:c r="A162" s="14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6"/>
      <x:c r="P162" s="11"/>
    </x:row>
    <x:row r="163">
      <x:c r="A163" s="14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6"/>
      <x:c r="P163" s="11"/>
    </x:row>
    <x:row r="164">
      <x:c r="A164" s="14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6"/>
      <x:c r="P164" s="11"/>
    </x:row>
    <x:row r="165">
      <x:c r="A165" s="14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6"/>
      <x:c r="P165" s="11"/>
    </x:row>
    <x:row r="166">
      <x:c r="A166" s="14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6"/>
      <x:c r="P166" s="11"/>
    </x:row>
    <x:row r="167">
      <x:c r="A167" s="14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6"/>
      <x:c r="P167" s="11"/>
    </x:row>
    <x:row r="168">
      <x:c r="A168" s="14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6"/>
      <x:c r="P168" s="11"/>
    </x:row>
    <x:row r="169">
      <x:c r="A169" s="14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6"/>
      <x:c r="P169" s="11"/>
    </x:row>
    <x:row r="170">
      <x:c r="A170" s="14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6"/>
      <x:c r="P170" s="11"/>
    </x:row>
    <x:row r="171">
      <x:c r="A171" s="14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6"/>
      <x:c r="P171" s="11"/>
    </x:row>
    <x:row r="172">
      <x:c r="A172" s="14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6"/>
      <x:c r="P172" s="11"/>
    </x:row>
    <x:row r="173">
      <x:c r="A173" s="14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6"/>
      <x:c r="P173" s="11"/>
    </x:row>
    <x:row r="174">
      <x:c r="A174" s="14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6"/>
      <x:c r="P174" s="11"/>
    </x:row>
    <x:row r="175">
      <x:c r="A175" s="14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6"/>
      <x:c r="P175" s="11"/>
    </x:row>
    <x:row r="176">
      <x:c r="A176" s="14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6"/>
      <x:c r="P176" s="11"/>
    </x:row>
    <x:row r="177">
      <x:c r="A177" s="14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6"/>
      <x:c r="P177" s="11"/>
    </x:row>
    <x:row r="178">
      <x:c r="A178" s="14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6"/>
      <x:c r="P178" s="11"/>
    </x:row>
    <x:row r="179">
      <x:c r="A179" s="14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6"/>
      <x:c r="P179" s="11"/>
    </x:row>
    <x:row r="180">
      <x:c r="A180" s="14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6"/>
      <x:c r="P180" s="11"/>
    </x:row>
    <x:row r="181">
      <x:c r="A181" s="14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6"/>
      <x:c r="P181" s="11"/>
    </x:row>
    <x:row r="182">
      <x:c r="A182" s="14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6"/>
      <x:c r="P182" s="11"/>
    </x:row>
    <x:row r="183">
      <x:c r="A183" s="14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6"/>
      <x:c r="P183" s="11"/>
    </x:row>
    <x:row r="184">
      <x:c r="A184" s="14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6"/>
      <x:c r="P184" s="11"/>
    </x:row>
    <x:row r="185">
      <x:c r="A185" s="14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6"/>
      <x:c r="P185" s="11"/>
    </x:row>
    <x:row r="186">
      <x:c r="A186" s="14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6"/>
      <x:c r="P186" s="11"/>
    </x:row>
    <x:row r="187">
      <x:c r="A187" s="14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6"/>
      <x:c r="P187" s="11"/>
    </x:row>
    <x:row r="188">
      <x:c r="A188" s="14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6"/>
      <x:c r="P188" s="11"/>
    </x:row>
    <x:row r="189">
      <x:c r="A189" s="14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6"/>
      <x:c r="P189" s="11"/>
    </x:row>
    <x:row r="190">
      <x:c r="A190" s="14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6"/>
      <x:c r="P190" s="11"/>
    </x:row>
    <x:row r="191">
      <x:c r="A191" s="14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6"/>
      <x:c r="P191" s="11"/>
    </x:row>
    <x:row r="192">
      <x:c r="A192" s="14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6"/>
      <x:c r="P192" s="11"/>
    </x:row>
    <x:row r="193">
      <x:c r="A193" s="14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6"/>
      <x:c r="P193" s="11"/>
    </x:row>
    <x:row r="194">
      <x:c r="A194" s="14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6"/>
      <x:c r="P194" s="11"/>
    </x:row>
    <x:row r="195">
      <x:c r="A195" s="14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6"/>
      <x:c r="P195" s="11"/>
    </x:row>
    <x:row r="196">
      <x:c r="A196" s="14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6"/>
      <x:c r="P196" s="11"/>
    </x:row>
    <x:row r="197">
      <x:c r="A197" s="14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6"/>
      <x:c r="P197" s="11"/>
    </x:row>
    <x:row r="198">
      <x:c r="A198" s="14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6"/>
      <x:c r="P198" s="11"/>
    </x:row>
    <x:row r="199">
      <x:c r="A199" s="14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6"/>
      <x:c r="P199" s="11"/>
    </x:row>
    <x:row r="200">
      <x:c r="A200" s="14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6"/>
      <x:c r="P200" s="11"/>
    </x:row>
  </x:sheetData>
  <x:dataValidations count="4">
    <x:dataValidation type="list" sqref="B2:B200">
      <x:formula1>"New,Contacted,Consultation Booked,Assessment Done,Care Started,Not Suitable,Closed"</x:formula1>
    </x:dataValidation>
    <x:dataValidation type="list" sqref="G2:G200">
      <x:formula1>"Phone call,WhatsApp,Email"</x:formula1>
    </x:dataValidation>
    <x:dataValidation type="list" sqref="H2:H200">
      <x:formula1>"Live-in care,Respite care,Couples care,Companionship,Personal care support,Not sure yet"</x:formula1>
    </x:dataValidation>
    <x:dataValidation type="list" sqref="I2:I200">
      <x:formula1>"As soon as possible,Within 1-2 weeks,Within a month,Planning ahead"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74e4c59fc74cd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6" hidden="0" customWidth="1"/>
    <x:col min="5" max="5" width="2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42" hidden="0" customWidth="1"/>
    <x:col min="15" max="15" width="18" hidden="0" customWidth="1"/>
    <x:col min="16" max="16" width="34" hidden="0" customWidth="1"/>
    <x:col min="17" max="17" width="18" hidden="0" customWidth="1"/>
    <x:col min="18" max="18" width="34" hidden="0" customWidth="1"/>
  </x:cols>
  <x:sheetData>
    <x:row r="1">
      <x:c r="A1" s="10" t="str">
        <x:v>Date Received</x:v>
      </x:c>
      <x:c r="B1" s="10" t="str">
        <x:v>Status</x:v>
      </x:c>
      <x:c r="C1" s="10" t="str">
        <x:v>Full Name</x:v>
      </x:c>
      <x:c r="D1" s="10" t="str">
        <x:v>Phone</x:v>
      </x:c>
      <x:c r="E1" s="10" t="str">
        <x:v>Email</x:v>
      </x:c>
      <x:c r="F1" s="10" t="str">
        <x:v>Location</x:v>
      </x:c>
      <x:c r="G1" s="10" t="str">
        <x:v>Experience</x:v>
      </x:c>
      <x:c r="H1" s="10" t="str">
        <x:v>Role Interest</x:v>
      </x:c>
      <x:c r="I1" s="10" t="str">
        <x:v>Availability</x:v>
      </x:c>
      <x:c r="J1" s="10" t="str">
        <x:v>Right to Work</x:v>
      </x:c>
      <x:c r="K1" s="10" t="str">
        <x:v>DBS</x:v>
      </x:c>
      <x:c r="L1" s="10" t="str">
        <x:v>References</x:v>
      </x:c>
      <x:c r="M1" s="10" t="str">
        <x:v>Drives</x:v>
      </x:c>
      <x:c r="N1" s="10" t="str">
        <x:v>Message</x:v>
      </x:c>
      <x:c r="O1" s="10" t="str">
        <x:v>Source</x:v>
      </x:c>
      <x:c r="P1" s="10" t="str">
        <x:v>Page URL</x:v>
      </x:c>
      <x:c r="Q1" s="10" t="str">
        <x:v>Follow-up Date</x:v>
      </x:c>
      <x:c r="R1" s="10" t="str">
        <x:v>Notes</x:v>
      </x:c>
    </x:row>
    <x:row r="2">
      <x:c r="A2" s="14" t="n">
        <x:v>46195.99387295139</x:v>
      </x:c>
      <x:c r="B2" s="11" t="str">
        <x:v>New</x:v>
      </x:c>
      <x:c r="C2" s="11" t="str">
        <x:v>Example Applicant</x:v>
      </x:c>
      <x:c r="D2" s="11" t="str">
        <x:v>07123 456 789</x:v>
      </x:c>
      <x:c r="E2" s="11" t="str">
        <x:v>applicant@email.com</x:v>
      </x:c>
      <x:c r="F2" s="11" t="str">
        <x:v>Kent</x:v>
      </x:c>
      <x:c r="G2" s="11" t="str">
        <x:v>Yes</x:v>
      </x:c>
      <x:c r="H2" s="11" t="str">
        <x:v>Live-in Carer</x:v>
      </x:c>
      <x:c r="I2" s="11" t="str">
        <x:v>Full-time</x:v>
      </x:c>
      <x:c r="J2" s="11" t="str">
        <x:v>Yes</x:v>
      </x:c>
      <x:c r="K2" s="11" t="str">
        <x:v>Yes</x:v>
      </x:c>
      <x:c r="L2" s="11" t="str">
        <x:v>Yes</x:v>
      </x:c>
      <x:c r="M2" s="11" t="str">
        <x:v>No</x:v>
      </x:c>
      <x:c r="N2" s="11" t="str">
        <x:v>Example carer application.</x:v>
      </x:c>
      <x:c r="O2" s="11" t="str">
        <x:v>Website form</x:v>
      </x:c>
      <x:c r="P2" s="11" t="str">
        <x:v>https://amkcare.co.uk/join-amk-care.html</x:v>
      </x:c>
      <x:c r="Q2" s="16" t="str"/>
      <x:c r="R2" s="11" t="str"/>
    </x:row>
    <x:row r="3">
      <x:c r="A3" s="14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6"/>
      <x:c r="R3" s="11"/>
    </x:row>
    <x:row r="4">
      <x:c r="A4" s="14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6"/>
      <x:c r="R4" s="11"/>
    </x:row>
    <x:row r="5">
      <x:c r="A5" s="14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6"/>
      <x:c r="R5" s="11"/>
    </x:row>
    <x:row r="6">
      <x:c r="A6" s="14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6"/>
      <x:c r="R6" s="11"/>
    </x:row>
    <x:row r="7">
      <x:c r="A7" s="14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6"/>
      <x:c r="R7" s="11"/>
    </x:row>
    <x:row r="8">
      <x:c r="A8" s="14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6"/>
      <x:c r="R8" s="11"/>
    </x:row>
    <x:row r="9">
      <x:c r="A9" s="14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6"/>
      <x:c r="R9" s="11"/>
    </x:row>
    <x:row r="10">
      <x:c r="A10" s="14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6"/>
      <x:c r="R10" s="11"/>
    </x:row>
    <x:row r="11">
      <x:c r="A11" s="14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6"/>
      <x:c r="R11" s="11"/>
    </x:row>
    <x:row r="12">
      <x:c r="A12" s="14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6"/>
      <x:c r="R12" s="11"/>
    </x:row>
    <x:row r="13">
      <x:c r="A13" s="14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6"/>
      <x:c r="R13" s="11"/>
    </x:row>
    <x:row r="14">
      <x:c r="A14" s="14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6"/>
      <x:c r="R14" s="11"/>
    </x:row>
    <x:row r="15">
      <x:c r="A15" s="14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6"/>
      <x:c r="R15" s="11"/>
    </x:row>
    <x:row r="16">
      <x:c r="A16" s="14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6"/>
      <x:c r="R16" s="11"/>
    </x:row>
    <x:row r="17">
      <x:c r="A17" s="14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6"/>
      <x:c r="R17" s="11"/>
    </x:row>
    <x:row r="18">
      <x:c r="A18" s="14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6"/>
      <x:c r="R18" s="11"/>
    </x:row>
    <x:row r="19">
      <x:c r="A19" s="14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6"/>
      <x:c r="R19" s="11"/>
    </x:row>
    <x:row r="20">
      <x:c r="A20" s="14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6"/>
      <x:c r="R20" s="11"/>
    </x:row>
    <x:row r="21">
      <x:c r="A21" s="14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6"/>
      <x:c r="R21" s="11"/>
    </x:row>
    <x:row r="22">
      <x:c r="A22" s="14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6"/>
      <x:c r="R22" s="11"/>
    </x:row>
    <x:row r="23">
      <x:c r="A23" s="14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6"/>
      <x:c r="R23" s="11"/>
    </x:row>
    <x:row r="24">
      <x:c r="A24" s="14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6"/>
      <x:c r="R24" s="11"/>
    </x:row>
    <x:row r="25">
      <x:c r="A25" s="14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6"/>
      <x:c r="R25" s="11"/>
    </x:row>
    <x:row r="26">
      <x:c r="A26" s="14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6"/>
      <x:c r="R26" s="11"/>
    </x:row>
    <x:row r="27">
      <x:c r="A27" s="14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6"/>
      <x:c r="R27" s="11"/>
    </x:row>
    <x:row r="28">
      <x:c r="A28" s="14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6"/>
      <x:c r="R28" s="11"/>
    </x:row>
    <x:row r="29">
      <x:c r="A29" s="14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6"/>
      <x:c r="R29" s="11"/>
    </x:row>
    <x:row r="30">
      <x:c r="A30" s="14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6"/>
      <x:c r="R30" s="11"/>
    </x:row>
    <x:row r="31">
      <x:c r="A31" s="14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6"/>
      <x:c r="R31" s="11"/>
    </x:row>
    <x:row r="32">
      <x:c r="A32" s="14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6"/>
      <x:c r="R32" s="11"/>
    </x:row>
    <x:row r="33">
      <x:c r="A33" s="14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6"/>
      <x:c r="R33" s="11"/>
    </x:row>
    <x:row r="34">
      <x:c r="A34" s="14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6"/>
      <x:c r="R34" s="11"/>
    </x:row>
    <x:row r="35">
      <x:c r="A35" s="14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6"/>
      <x:c r="R35" s="11"/>
    </x:row>
    <x:row r="36">
      <x:c r="A36" s="14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6"/>
      <x:c r="R36" s="11"/>
    </x:row>
    <x:row r="37">
      <x:c r="A37" s="14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6"/>
      <x:c r="R37" s="11"/>
    </x:row>
    <x:row r="38">
      <x:c r="A38" s="14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6"/>
      <x:c r="R38" s="11"/>
    </x:row>
    <x:row r="39">
      <x:c r="A39" s="14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6"/>
      <x:c r="R39" s="11"/>
    </x:row>
    <x:row r="40">
      <x:c r="A40" s="14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6"/>
      <x:c r="R40" s="11"/>
    </x:row>
    <x:row r="41">
      <x:c r="A41" s="14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6"/>
      <x:c r="R41" s="11"/>
    </x:row>
    <x:row r="42">
      <x:c r="A42" s="14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6"/>
      <x:c r="R42" s="11"/>
    </x:row>
    <x:row r="43">
      <x:c r="A43" s="14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6"/>
      <x:c r="R43" s="11"/>
    </x:row>
    <x:row r="44">
      <x:c r="A44" s="14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6"/>
      <x:c r="R44" s="11"/>
    </x:row>
    <x:row r="45">
      <x:c r="A45" s="14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6"/>
      <x:c r="R45" s="11"/>
    </x:row>
    <x:row r="46">
      <x:c r="A46" s="14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6"/>
      <x:c r="R46" s="11"/>
    </x:row>
    <x:row r="47">
      <x:c r="A47" s="14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6"/>
      <x:c r="R47" s="11"/>
    </x:row>
    <x:row r="48">
      <x:c r="A48" s="14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6"/>
      <x:c r="R48" s="11"/>
    </x:row>
    <x:row r="49">
      <x:c r="A49" s="14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6"/>
      <x:c r="R49" s="11"/>
    </x:row>
    <x:row r="50">
      <x:c r="A50" s="14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6"/>
      <x:c r="R50" s="11"/>
    </x:row>
    <x:row r="51">
      <x:c r="A51" s="14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6"/>
      <x:c r="R51" s="11"/>
    </x:row>
    <x:row r="52">
      <x:c r="A52" s="14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6"/>
      <x:c r="R52" s="11"/>
    </x:row>
    <x:row r="53">
      <x:c r="A53" s="14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6"/>
      <x:c r="R53" s="11"/>
    </x:row>
    <x:row r="54">
      <x:c r="A54" s="14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6"/>
      <x:c r="R54" s="11"/>
    </x:row>
    <x:row r="55">
      <x:c r="A55" s="14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6"/>
      <x:c r="R55" s="11"/>
    </x:row>
    <x:row r="56">
      <x:c r="A56" s="14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6"/>
      <x:c r="R56" s="11"/>
    </x:row>
    <x:row r="57">
      <x:c r="A57" s="14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6"/>
      <x:c r="R57" s="11"/>
    </x:row>
    <x:row r="58">
      <x:c r="A58" s="14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6"/>
      <x:c r="R58" s="11"/>
    </x:row>
    <x:row r="59">
      <x:c r="A59" s="14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6"/>
      <x:c r="R59" s="11"/>
    </x:row>
    <x:row r="60">
      <x:c r="A60" s="14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6"/>
      <x:c r="R60" s="11"/>
    </x:row>
    <x:row r="61">
      <x:c r="A61" s="14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6"/>
      <x:c r="R61" s="11"/>
    </x:row>
    <x:row r="62">
      <x:c r="A62" s="14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6"/>
      <x:c r="R62" s="11"/>
    </x:row>
    <x:row r="63">
      <x:c r="A63" s="14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6"/>
      <x:c r="R63" s="11"/>
    </x:row>
    <x:row r="64">
      <x:c r="A64" s="14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6"/>
      <x:c r="R64" s="11"/>
    </x:row>
    <x:row r="65">
      <x:c r="A65" s="14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6"/>
      <x:c r="R65" s="11"/>
    </x:row>
    <x:row r="66">
      <x:c r="A66" s="14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6"/>
      <x:c r="R66" s="11"/>
    </x:row>
    <x:row r="67">
      <x:c r="A67" s="14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6"/>
      <x:c r="R67" s="11"/>
    </x:row>
    <x:row r="68">
      <x:c r="A68" s="14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6"/>
      <x:c r="R68" s="11"/>
    </x:row>
    <x:row r="69">
      <x:c r="A69" s="14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6"/>
      <x:c r="R69" s="11"/>
    </x:row>
    <x:row r="70">
      <x:c r="A70" s="14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6"/>
      <x:c r="R70" s="11"/>
    </x:row>
    <x:row r="71">
      <x:c r="A71" s="14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6"/>
      <x:c r="R71" s="11"/>
    </x:row>
    <x:row r="72">
      <x:c r="A72" s="14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6"/>
      <x:c r="R72" s="11"/>
    </x:row>
    <x:row r="73">
      <x:c r="A73" s="14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6"/>
      <x:c r="R73" s="11"/>
    </x:row>
    <x:row r="74">
      <x:c r="A74" s="14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6"/>
      <x:c r="R74" s="11"/>
    </x:row>
    <x:row r="75">
      <x:c r="A75" s="14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6"/>
      <x:c r="R75" s="11"/>
    </x:row>
    <x:row r="76">
      <x:c r="A76" s="14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6"/>
      <x:c r="R76" s="11"/>
    </x:row>
    <x:row r="77">
      <x:c r="A77" s="14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6"/>
      <x:c r="R77" s="11"/>
    </x:row>
    <x:row r="78">
      <x:c r="A78" s="14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6"/>
      <x:c r="R78" s="11"/>
    </x:row>
    <x:row r="79">
      <x:c r="A79" s="14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6"/>
      <x:c r="R79" s="11"/>
    </x:row>
    <x:row r="80">
      <x:c r="A80" s="14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6"/>
      <x:c r="R80" s="11"/>
    </x:row>
    <x:row r="81">
      <x:c r="A81" s="14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6"/>
      <x:c r="R81" s="11"/>
    </x:row>
    <x:row r="82">
      <x:c r="A82" s="14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6"/>
      <x:c r="R82" s="11"/>
    </x:row>
    <x:row r="83">
      <x:c r="A83" s="14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6"/>
      <x:c r="R83" s="11"/>
    </x:row>
    <x:row r="84">
      <x:c r="A84" s="14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6"/>
      <x:c r="R84" s="11"/>
    </x:row>
    <x:row r="85">
      <x:c r="A85" s="14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6"/>
      <x:c r="R85" s="11"/>
    </x:row>
    <x:row r="86">
      <x:c r="A86" s="14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6"/>
      <x:c r="R86" s="11"/>
    </x:row>
    <x:row r="87">
      <x:c r="A87" s="14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6"/>
      <x:c r="R87" s="11"/>
    </x:row>
    <x:row r="88">
      <x:c r="A88" s="14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6"/>
      <x:c r="R88" s="11"/>
    </x:row>
    <x:row r="89">
      <x:c r="A89" s="14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6"/>
      <x:c r="R89" s="11"/>
    </x:row>
    <x:row r="90">
      <x:c r="A90" s="14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6"/>
      <x:c r="R90" s="11"/>
    </x:row>
    <x:row r="91">
      <x:c r="A91" s="14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6"/>
      <x:c r="R91" s="11"/>
    </x:row>
    <x:row r="92">
      <x:c r="A92" s="14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6"/>
      <x:c r="R92" s="11"/>
    </x:row>
    <x:row r="93">
      <x:c r="A93" s="14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6"/>
      <x:c r="R93" s="11"/>
    </x:row>
    <x:row r="94">
      <x:c r="A94" s="14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6"/>
      <x:c r="R94" s="11"/>
    </x:row>
    <x:row r="95">
      <x:c r="A95" s="14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6"/>
      <x:c r="R95" s="11"/>
    </x:row>
    <x:row r="96">
      <x:c r="A96" s="14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6"/>
      <x:c r="R96" s="11"/>
    </x:row>
    <x:row r="97">
      <x:c r="A97" s="14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6"/>
      <x:c r="R97" s="11"/>
    </x:row>
    <x:row r="98">
      <x:c r="A98" s="14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6"/>
      <x:c r="R98" s="11"/>
    </x:row>
    <x:row r="99">
      <x:c r="A99" s="14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6"/>
      <x:c r="R99" s="11"/>
    </x:row>
    <x:row r="100">
      <x:c r="A100" s="14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6"/>
      <x:c r="R100" s="11"/>
    </x:row>
    <x:row r="101">
      <x:c r="A101" s="14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6"/>
      <x:c r="R101" s="11"/>
    </x:row>
    <x:row r="102">
      <x:c r="A102" s="14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6"/>
      <x:c r="R102" s="11"/>
    </x:row>
    <x:row r="103">
      <x:c r="A103" s="14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6"/>
      <x:c r="R103" s="11"/>
    </x:row>
    <x:row r="104">
      <x:c r="A104" s="14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6"/>
      <x:c r="R104" s="11"/>
    </x:row>
    <x:row r="105">
      <x:c r="A105" s="14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6"/>
      <x:c r="R105" s="11"/>
    </x:row>
    <x:row r="106">
      <x:c r="A106" s="14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6"/>
      <x:c r="R106" s="11"/>
    </x:row>
    <x:row r="107">
      <x:c r="A107" s="14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6"/>
      <x:c r="R107" s="11"/>
    </x:row>
    <x:row r="108">
      <x:c r="A108" s="14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6"/>
      <x:c r="R108" s="11"/>
    </x:row>
    <x:row r="109">
      <x:c r="A109" s="14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6"/>
      <x:c r="R109" s="11"/>
    </x:row>
    <x:row r="110">
      <x:c r="A110" s="14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6"/>
      <x:c r="R110" s="11"/>
    </x:row>
    <x:row r="111">
      <x:c r="A111" s="14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6"/>
      <x:c r="R111" s="11"/>
    </x:row>
    <x:row r="112">
      <x:c r="A112" s="14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6"/>
      <x:c r="R112" s="11"/>
    </x:row>
    <x:row r="113">
      <x:c r="A113" s="14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6"/>
      <x:c r="R113" s="11"/>
    </x:row>
    <x:row r="114">
      <x:c r="A114" s="14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6"/>
      <x:c r="R114" s="11"/>
    </x:row>
    <x:row r="115">
      <x:c r="A115" s="14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6"/>
      <x:c r="R115" s="11"/>
    </x:row>
    <x:row r="116">
      <x:c r="A116" s="14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6"/>
      <x:c r="R116" s="11"/>
    </x:row>
    <x:row r="117">
      <x:c r="A117" s="14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6"/>
      <x:c r="R117" s="11"/>
    </x:row>
    <x:row r="118">
      <x:c r="A118" s="14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6"/>
      <x:c r="R118" s="11"/>
    </x:row>
    <x:row r="119">
      <x:c r="A119" s="14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6"/>
      <x:c r="R119" s="11"/>
    </x:row>
    <x:row r="120">
      <x:c r="A120" s="14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6"/>
      <x:c r="R120" s="11"/>
    </x:row>
    <x:row r="121">
      <x:c r="A121" s="14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6"/>
      <x:c r="R121" s="11"/>
    </x:row>
    <x:row r="122">
      <x:c r="A122" s="14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6"/>
      <x:c r="R122" s="11"/>
    </x:row>
    <x:row r="123">
      <x:c r="A123" s="14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6"/>
      <x:c r="R123" s="11"/>
    </x:row>
    <x:row r="124">
      <x:c r="A124" s="14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6"/>
      <x:c r="R124" s="11"/>
    </x:row>
    <x:row r="125">
      <x:c r="A125" s="14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6"/>
      <x:c r="R125" s="11"/>
    </x:row>
    <x:row r="126">
      <x:c r="A126" s="14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6"/>
      <x:c r="R126" s="11"/>
    </x:row>
    <x:row r="127">
      <x:c r="A127" s="14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6"/>
      <x:c r="R127" s="11"/>
    </x:row>
    <x:row r="128">
      <x:c r="A128" s="14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6"/>
      <x:c r="R128" s="11"/>
    </x:row>
    <x:row r="129">
      <x:c r="A129" s="14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6"/>
      <x:c r="R129" s="11"/>
    </x:row>
    <x:row r="130">
      <x:c r="A130" s="14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6"/>
      <x:c r="R130" s="11"/>
    </x:row>
    <x:row r="131">
      <x:c r="A131" s="14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6"/>
      <x:c r="R131" s="11"/>
    </x:row>
    <x:row r="132">
      <x:c r="A132" s="14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6"/>
      <x:c r="R132" s="11"/>
    </x:row>
    <x:row r="133">
      <x:c r="A133" s="14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6"/>
      <x:c r="R133" s="11"/>
    </x:row>
    <x:row r="134">
      <x:c r="A134" s="14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6"/>
      <x:c r="R134" s="11"/>
    </x:row>
    <x:row r="135">
      <x:c r="A135" s="14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6"/>
      <x:c r="R135" s="11"/>
    </x:row>
    <x:row r="136">
      <x:c r="A136" s="14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6"/>
      <x:c r="R136" s="11"/>
    </x:row>
    <x:row r="137">
      <x:c r="A137" s="14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6"/>
      <x:c r="R137" s="11"/>
    </x:row>
    <x:row r="138">
      <x:c r="A138" s="14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6"/>
      <x:c r="R138" s="11"/>
    </x:row>
    <x:row r="139">
      <x:c r="A139" s="14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6"/>
      <x:c r="R139" s="11"/>
    </x:row>
    <x:row r="140">
      <x:c r="A140" s="14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6"/>
      <x:c r="R140" s="11"/>
    </x:row>
    <x:row r="141">
      <x:c r="A141" s="14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6"/>
      <x:c r="R141" s="11"/>
    </x:row>
    <x:row r="142">
      <x:c r="A142" s="14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6"/>
      <x:c r="R142" s="11"/>
    </x:row>
    <x:row r="143">
      <x:c r="A143" s="14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6"/>
      <x:c r="R143" s="11"/>
    </x:row>
    <x:row r="144">
      <x:c r="A144" s="14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6"/>
      <x:c r="R144" s="11"/>
    </x:row>
    <x:row r="145">
      <x:c r="A145" s="14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6"/>
      <x:c r="R145" s="11"/>
    </x:row>
    <x:row r="146">
      <x:c r="A146" s="14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6"/>
      <x:c r="R146" s="11"/>
    </x:row>
    <x:row r="147">
      <x:c r="A147" s="14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6"/>
      <x:c r="R147" s="11"/>
    </x:row>
    <x:row r="148">
      <x:c r="A148" s="14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6"/>
      <x:c r="R148" s="11"/>
    </x:row>
    <x:row r="149">
      <x:c r="A149" s="14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6"/>
      <x:c r="R149" s="11"/>
    </x:row>
    <x:row r="150">
      <x:c r="A150" s="14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6"/>
      <x:c r="R150" s="11"/>
    </x:row>
    <x:row r="151">
      <x:c r="A151" s="14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6"/>
      <x:c r="R151" s="11"/>
    </x:row>
    <x:row r="152">
      <x:c r="A152" s="14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6"/>
      <x:c r="R152" s="11"/>
    </x:row>
    <x:row r="153">
      <x:c r="A153" s="14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6"/>
      <x:c r="R153" s="11"/>
    </x:row>
    <x:row r="154">
      <x:c r="A154" s="14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6"/>
      <x:c r="R154" s="11"/>
    </x:row>
    <x:row r="155">
      <x:c r="A155" s="14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6"/>
      <x:c r="R155" s="11"/>
    </x:row>
    <x:row r="156">
      <x:c r="A156" s="14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6"/>
      <x:c r="R156" s="11"/>
    </x:row>
    <x:row r="157">
      <x:c r="A157" s="14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6"/>
      <x:c r="R157" s="11"/>
    </x:row>
    <x:row r="158">
      <x:c r="A158" s="14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6"/>
      <x:c r="R158" s="11"/>
    </x:row>
    <x:row r="159">
      <x:c r="A159" s="14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6"/>
      <x:c r="R159" s="11"/>
    </x:row>
    <x:row r="160">
      <x:c r="A160" s="14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6"/>
      <x:c r="R160" s="11"/>
    </x:row>
    <x:row r="161">
      <x:c r="A161" s="14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6"/>
      <x:c r="R161" s="11"/>
    </x:row>
    <x:row r="162">
      <x:c r="A162" s="14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6"/>
      <x:c r="R162" s="11"/>
    </x:row>
    <x:row r="163">
      <x:c r="A163" s="14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6"/>
      <x:c r="R163" s="11"/>
    </x:row>
    <x:row r="164">
      <x:c r="A164" s="14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6"/>
      <x:c r="R164" s="11"/>
    </x:row>
    <x:row r="165">
      <x:c r="A165" s="14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6"/>
      <x:c r="R165" s="11"/>
    </x:row>
    <x:row r="166">
      <x:c r="A166" s="14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6"/>
      <x:c r="R166" s="11"/>
    </x:row>
    <x:row r="167">
      <x:c r="A167" s="14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6"/>
      <x:c r="R167" s="11"/>
    </x:row>
    <x:row r="168">
      <x:c r="A168" s="14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6"/>
      <x:c r="R168" s="11"/>
    </x:row>
    <x:row r="169">
      <x:c r="A169" s="14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6"/>
      <x:c r="R169" s="11"/>
    </x:row>
    <x:row r="170">
      <x:c r="A170" s="14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6"/>
      <x:c r="R170" s="11"/>
    </x:row>
    <x:row r="171">
      <x:c r="A171" s="14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6"/>
      <x:c r="R171" s="11"/>
    </x:row>
    <x:row r="172">
      <x:c r="A172" s="14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6"/>
      <x:c r="R172" s="11"/>
    </x:row>
    <x:row r="173">
      <x:c r="A173" s="14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6"/>
      <x:c r="R173" s="11"/>
    </x:row>
    <x:row r="174">
      <x:c r="A174" s="14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6"/>
      <x:c r="R174" s="11"/>
    </x:row>
    <x:row r="175">
      <x:c r="A175" s="14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6"/>
      <x:c r="R175" s="11"/>
    </x:row>
    <x:row r="176">
      <x:c r="A176" s="14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6"/>
      <x:c r="R176" s="11"/>
    </x:row>
    <x:row r="177">
      <x:c r="A177" s="14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6"/>
      <x:c r="R177" s="11"/>
    </x:row>
    <x:row r="178">
      <x:c r="A178" s="14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6"/>
      <x:c r="R178" s="11"/>
    </x:row>
    <x:row r="179">
      <x:c r="A179" s="14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6"/>
      <x:c r="R179" s="11"/>
    </x:row>
    <x:row r="180">
      <x:c r="A180" s="14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6"/>
      <x:c r="R180" s="11"/>
    </x:row>
    <x:row r="181">
      <x:c r="A181" s="14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6"/>
      <x:c r="R181" s="11"/>
    </x:row>
    <x:row r="182">
      <x:c r="A182" s="14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6"/>
      <x:c r="R182" s="11"/>
    </x:row>
    <x:row r="183">
      <x:c r="A183" s="14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6"/>
      <x:c r="R183" s="11"/>
    </x:row>
    <x:row r="184">
      <x:c r="A184" s="14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6"/>
      <x:c r="R184" s="11"/>
    </x:row>
    <x:row r="185">
      <x:c r="A185" s="14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6"/>
      <x:c r="R185" s="11"/>
    </x:row>
    <x:row r="186">
      <x:c r="A186" s="14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6"/>
      <x:c r="R186" s="11"/>
    </x:row>
    <x:row r="187">
      <x:c r="A187" s="14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6"/>
      <x:c r="R187" s="11"/>
    </x:row>
    <x:row r="188">
      <x:c r="A188" s="14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6"/>
      <x:c r="R188" s="11"/>
    </x:row>
    <x:row r="189">
      <x:c r="A189" s="14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6"/>
      <x:c r="R189" s="11"/>
    </x:row>
    <x:row r="190">
      <x:c r="A190" s="14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6"/>
      <x:c r="R190" s="11"/>
    </x:row>
    <x:row r="191">
      <x:c r="A191" s="14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6"/>
      <x:c r="R191" s="11"/>
    </x:row>
    <x:row r="192">
      <x:c r="A192" s="14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6"/>
      <x:c r="R192" s="11"/>
    </x:row>
    <x:row r="193">
      <x:c r="A193" s="14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6"/>
      <x:c r="R193" s="11"/>
    </x:row>
    <x:row r="194">
      <x:c r="A194" s="14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6"/>
      <x:c r="R194" s="11"/>
    </x:row>
    <x:row r="195">
      <x:c r="A195" s="14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6"/>
      <x:c r="R195" s="11"/>
    </x:row>
    <x:row r="196">
      <x:c r="A196" s="14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6"/>
      <x:c r="R196" s="11"/>
    </x:row>
    <x:row r="197">
      <x:c r="A197" s="14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6"/>
      <x:c r="R197" s="11"/>
    </x:row>
    <x:row r="198">
      <x:c r="A198" s="14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6"/>
      <x:c r="R198" s="11"/>
    </x:row>
    <x:row r="199">
      <x:c r="A199" s="14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6"/>
      <x:c r="R199" s="11"/>
    </x:row>
    <x:row r="200">
      <x:c r="A200" s="14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6"/>
      <x:c r="R200" s="11"/>
    </x:row>
  </x:sheetData>
  <x:dataValidations count="8">
    <x:dataValidation type="list" sqref="B2:B200">
      <x:formula1>"New,Contacted,Screening,Interview,Documents Required,Training,Accepted,Not Suitable,Closed"</x:formula1>
    </x:dataValidation>
    <x:dataValidation type="list" sqref="G2:G200">
      <x:formula1>"Yes,No,Not sure"</x:formula1>
    </x:dataValidation>
    <x:dataValidation type="list" sqref="H2:H200">
      <x:formula1>"Live-in Carer,Care Assistant,Support Worker,AMK Carer,Flexible"</x:formula1>
    </x:dataValidation>
    <x:dataValidation type="list" sqref="I2:I200">
      <x:formula1>"Full-time,Part-time,Live-in,Flexible,Weekends,Not sure"</x:formula1>
    </x:dataValidation>
    <x:dataValidation type="list" sqref="J2:J200">
      <x:formula1>"Yes,No,Not sure"</x:formula1>
    </x:dataValidation>
    <x:dataValidation type="list" sqref="K2:K200">
      <x:formula1>"Yes,No,Not sure"</x:formula1>
    </x:dataValidation>
    <x:dataValidation type="list" sqref="L2:L200">
      <x:formula1>"Yes,No,Not sure"</x:formula1>
    </x:dataValidation>
    <x:dataValidation type="list" sqref="M2:M200">
      <x:formula1>"Yes,No,Not sure"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b7e07fbb2b4e06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3" t="str">
        <x:v>Client Status</x:v>
      </x:c>
      <x:c r="B1" s="35" t="str">
        <x:v>New</x:v>
      </x:c>
      <x:c r="C1" s="35" t="str">
        <x:v>Contacted</x:v>
      </x:c>
      <x:c r="D1" s="35" t="str">
        <x:v>Consultation Booked</x:v>
      </x:c>
      <x:c r="E1" s="35" t="str">
        <x:v>Assessment Done</x:v>
      </x:c>
      <x:c r="F1" s="35" t="str">
        <x:v>Care Started</x:v>
      </x:c>
      <x:c r="G1" s="35" t="str">
        <x:v>Not Suitable</x:v>
      </x:c>
      <x:c r="H1" s="35" t="str">
        <x:v>Closed</x:v>
      </x:c>
      <x:c r="I1" s="35" t="str"/>
      <x:c r="J1" s="35" t="str"/>
    </x:row>
    <x:row r="2">
      <x:c r="A2" s="23" t="str">
        <x:v>Carer Status</x:v>
      </x:c>
      <x:c r="B2" s="35" t="str">
        <x:v>New</x:v>
      </x:c>
      <x:c r="C2" s="35" t="str">
        <x:v>Contacted</x:v>
      </x:c>
      <x:c r="D2" s="35" t="str">
        <x:v>Screening</x:v>
      </x:c>
      <x:c r="E2" s="35" t="str">
        <x:v>Interview</x:v>
      </x:c>
      <x:c r="F2" s="35" t="str">
        <x:v>Documents Required</x:v>
      </x:c>
      <x:c r="G2" s="35" t="str">
        <x:v>Training</x:v>
      </x:c>
      <x:c r="H2" s="35" t="str">
        <x:v>Accepted</x:v>
      </x:c>
      <x:c r="I2" s="35" t="str">
        <x:v>Not Suitable</x:v>
      </x:c>
      <x:c r="J2" s="35" t="str">
        <x:v>Closed</x:v>
      </x:c>
    </x:row>
    <x:row r="3">
      <x:c r="A3" s="23" t="str">
        <x:v>Preferred Contact</x:v>
      </x:c>
      <x:c r="B3" s="35" t="str">
        <x:v>Phone call</x:v>
      </x:c>
      <x:c r="C3" s="35" t="str">
        <x:v>WhatsApp</x:v>
      </x:c>
      <x:c r="D3" s="35" t="str">
        <x:v>Email</x:v>
      </x:c>
      <x:c r="E3" s="35" t="str"/>
      <x:c r="F3" s="35" t="str"/>
      <x:c r="G3" s="35" t="str"/>
      <x:c r="H3" s="35" t="str"/>
      <x:c r="I3" s="35" t="str"/>
      <x:c r="J3" s="35" t="str"/>
    </x:row>
    <x:row r="4">
      <x:c r="A4" s="23" t="str">
        <x:v>Care Type</x:v>
      </x:c>
      <x:c r="B4" s="35" t="str">
        <x:v>Live-in care</x:v>
      </x:c>
      <x:c r="C4" s="35" t="str">
        <x:v>Respite care</x:v>
      </x:c>
      <x:c r="D4" s="35" t="str">
        <x:v>Couples care</x:v>
      </x:c>
      <x:c r="E4" s="35" t="str">
        <x:v>Companionship</x:v>
      </x:c>
      <x:c r="F4" s="35" t="str">
        <x:v>Personal care support</x:v>
      </x:c>
      <x:c r="G4" s="35" t="str">
        <x:v>Not sure yet</x:v>
      </x:c>
      <x:c r="H4" s="35" t="str"/>
      <x:c r="I4" s="35" t="str"/>
      <x:c r="J4" s="35" t="str"/>
    </x:row>
    <x:row r="5">
      <x:c r="A5" s="23" t="str">
        <x:v>When Needed</x:v>
      </x:c>
      <x:c r="B5" s="35" t="str">
        <x:v>As soon as possible</x:v>
      </x:c>
      <x:c r="C5" s="35" t="str">
        <x:v>Within 1-2 weeks</x:v>
      </x:c>
      <x:c r="D5" s="35" t="str">
        <x:v>Within a month</x:v>
      </x:c>
      <x:c r="E5" s="35" t="str">
        <x:v>Planning ahead</x:v>
      </x:c>
      <x:c r="F5" s="35" t="str"/>
      <x:c r="G5" s="35" t="str"/>
      <x:c r="H5" s="35" t="str"/>
      <x:c r="I5" s="35" t="str"/>
      <x:c r="J5" s="35" t="str"/>
    </x:row>
    <x:row r="6">
      <x:c r="A6" s="23" t="str">
        <x:v>Yes / No</x:v>
      </x:c>
      <x:c r="B6" s="35" t="str">
        <x:v>Yes</x:v>
      </x:c>
      <x:c r="C6" s="35" t="str">
        <x:v>No</x:v>
      </x:c>
      <x:c r="D6" s="35" t="str">
        <x:v>Not sure</x:v>
      </x:c>
      <x:c r="E6" s="35" t="str"/>
      <x:c r="F6" s="35" t="str"/>
      <x:c r="G6" s="35" t="str"/>
      <x:c r="H6" s="35" t="str"/>
      <x:c r="I6" s="35" t="str"/>
      <x:c r="J6" s="35" t="str"/>
    </x:row>
    <x:row r="7">
      <x:c r="A7" s="23" t="str">
        <x:v>Role Interest</x:v>
      </x:c>
      <x:c r="B7" s="35" t="str">
        <x:v>Live-in Carer</x:v>
      </x:c>
      <x:c r="C7" s="35" t="str">
        <x:v>Care Assistant</x:v>
      </x:c>
      <x:c r="D7" s="35" t="str">
        <x:v>Support Worker</x:v>
      </x:c>
      <x:c r="E7" s="35" t="str">
        <x:v>AMK Carer</x:v>
      </x:c>
      <x:c r="F7" s="35" t="str">
        <x:v>Flexible</x:v>
      </x:c>
      <x:c r="G7" s="35" t="str"/>
      <x:c r="H7" s="35" t="str"/>
      <x:c r="I7" s="35" t="str"/>
      <x:c r="J7" s="35" t="str"/>
    </x:row>
    <x:row r="8">
      <x:c r="A8" s="23" t="str">
        <x:v>Availability</x:v>
      </x:c>
      <x:c r="B8" s="35" t="str">
        <x:v>Full-time</x:v>
      </x:c>
      <x:c r="C8" s="35" t="str">
        <x:v>Part-time</x:v>
      </x:c>
      <x:c r="D8" s="35" t="str">
        <x:v>Live-in</x:v>
      </x:c>
      <x:c r="E8" s="35" t="str">
        <x:v>Flexible</x:v>
      </x:c>
      <x:c r="F8" s="35" t="str">
        <x:v>Weekends</x:v>
      </x:c>
      <x:c r="G8" s="35" t="str">
        <x:v>Not sure</x:v>
      </x:c>
      <x:c r="H8" s="35" t="str"/>
      <x:c r="I8" s="35" t="str"/>
      <x:c r="J8" s="35" t="str"/>
    </x:row>
    <x:row r="9">
      <x:c r="A9" s="39"/>
    </x:row>
    <x:row r="10">
      <x:c r="A10" s="39"/>
    </x:row>
    <x:row r="11">
      <x:c r="A11" s="39"/>
    </x:row>
    <x:row r="12">
      <x:c r="A12" s="39"/>
    </x:row>
    <x:row r="13">
      <x:c r="A13" s="39"/>
    </x:row>
    <x:row r="14">
      <x:c r="A14" s="39"/>
    </x:row>
    <x:row r="15">
      <x:c r="A15" s="39"/>
    </x:row>
    <x:row r="16">
      <x:c r="A16" s="39"/>
    </x:row>
    <x:row r="17">
      <x:c r="A17" s="39"/>
    </x:row>
    <x:row r="18">
      <x:c r="A18" s="39"/>
    </x:row>
    <x:row r="19">
      <x:c r="A19" s="39"/>
    </x:row>
    <x:row r="20">
      <x:c r="A20" s="3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44" t="str">
        <x:v>AMK Care CRM Setup Instructions</x:v>
      </x:c>
    </x:row>
    <x:row r="2">
      <x:c r="A2" s="11" t="str"/>
    </x:row>
    <x:row r="3">
      <x:c r="A3" s="11" t="str">
        <x:v>1. Upload or recreate this workbook in Google Sheets.</x:v>
      </x:c>
    </x:row>
    <x:row r="4">
      <x:c r="A4" s="11" t="str">
        <x:v>2. Open the Google Sheet and go to Extensions &gt; Apps Script.</x:v>
      </x:c>
    </x:row>
    <x:row r="5">
      <x:c r="A5" s="11" t="str">
        <x:v>3. Paste the website google-apps-script.js file into Apps Script.</x:v>
      </x:c>
    </x:row>
    <x:row r="6">
      <x:c r="A6" s="11" t="str">
        <x:v>4. Deploy as a Web App. Use Execute as: Me. Access: Anyone.</x:v>
      </x:c>
    </x:row>
    <x:row r="7">
      <x:c r="A7" s="11" t="str">
        <x:v>5. Copy the Web App URL into website script.js under AMK_CONFIG.googleSheetEndpoint.</x:v>
      </x:c>
    </x:row>
    <x:row r="8">
      <x:c r="A8" s="11" t="str">
        <x:v>6. Test the client enquiry form and carer application form.</x:v>
      </x:c>
    </x:row>
    <x:row r="9">
      <x:c r="A9" s="11" t="str">
        <x:v>7. Every new enquiry/application should appear in the correct tab.</x:v>
      </x:c>
    </x:row>
    <x:row r="10">
      <x:c r="A10" s="11" t="str"/>
    </x:row>
    <x:row r="11">
      <x:c r="A11" s="11" t="str">
        <x:v>Recommended daily workflow:</x:v>
      </x:c>
    </x:row>
    <x:row r="12">
      <x:c r="A12" s="11" t="str">
        <x:v>- Check Client Enquiries and Carer Applications every day.</x:v>
      </x:c>
    </x:row>
    <x:row r="13">
      <x:c r="A13" s="11" t="str">
        <x:v>- Change Status as you follow up.</x:v>
      </x:c>
    </x:row>
    <x:row r="14">
      <x:c r="A14" s="11" t="str">
        <x:v>- Add Follow-up Date and Notes.</x:v>
      </x:c>
    </x:row>
    <x:row r="15">
      <x:c r="A15" s="11" t="str">
        <x:v>- Keep personal data private and only share with AMK Care team members who need access.</x:v>
      </x:c>
    </x:row>
  </x:sheetData>
  <x:pageMargins left="0.7" right="0.7" top="0.75" bottom="0.75" header="0.3" footer="0.3"/>
</x:worksheet>
</file>